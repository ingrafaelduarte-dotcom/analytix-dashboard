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Sectores" sheetId="2" state="visible" r:id="rId4"/>
    <sheet name="Equipo" sheetId="3" state="visible" r:id="rId5"/>
    <sheet name="Resumen" sheetId="4" state="visible" r:id="rId6"/>
    <sheet name="Changelog" sheetId="5" state="visible" r:id="rId7"/>
  </sheets>
  <definedNames>
    <definedName function="false" hidden="true" localSheetId="0" name="_xlnm._FilterDatabase" vbProcedure="false">Clientes!$A$1:$Q$16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<sst xmlns="http://schemas.openxmlformats.org/spreadsheetml/2006/main" count="285" uniqueCount="195">
  <si>
    <t xml:space="preserve">ID</t>
  </si>
  <si>
    <t xml:space="preserve">Cliente</t>
  </si>
  <si>
    <t xml:space="preserve">Sector</t>
  </si>
  <si>
    <t xml:space="preserve">País</t>
  </si>
  <si>
    <t xml:space="preserve">Ciudad</t>
  </si>
  <si>
    <t xml:space="preserve">Componentes</t>
  </si>
  <si>
    <t xml:space="preserve">Conexiones</t>
  </si>
  <si>
    <t xml:space="preserve">Estado</t>
  </si>
  <si>
    <t xml:space="preserve">Responsable</t>
  </si>
  <si>
    <t xml:space="preserve">Fecha Alta</t>
  </si>
  <si>
    <t xml:space="preserve">Última Revisión</t>
  </si>
  <si>
    <t xml:space="preserve">Notas</t>
  </si>
  <si>
    <t xml:space="preserve">Prioridad</t>
  </si>
  <si>
    <t xml:space="preserve">SLA (hrs)</t>
  </si>
  <si>
    <t xml:space="preserve">Contacto Cliente</t>
  </si>
  <si>
    <t xml:space="preserve">Email Contacto</t>
  </si>
  <si>
    <t xml:space="preserve">Teléfono</t>
  </si>
  <si>
    <t xml:space="preserve">CLARO</t>
  </si>
  <si>
    <t xml:space="preserve">Telecomunicaciones</t>
  </si>
  <si>
    <t xml:space="preserve">Colombia</t>
  </si>
  <si>
    <t xml:space="preserve">Bogotá</t>
  </si>
  <si>
    <t xml:space="preserve">PENDIENTE</t>
  </si>
  <si>
    <t xml:space="preserve">Oscar R</t>
  </si>
  <si>
    <t xml:space="preserve">2023-01-15</t>
  </si>
  <si>
    <t xml:space="preserve">2026-05-20</t>
  </si>
  <si>
    <t xml:space="preserve">Revisión de NVRs en progreso</t>
  </si>
  <si>
    <t xml:space="preserve">Alta</t>
  </si>
  <si>
    <t xml:space="preserve">Juan Pérez</t>
  </si>
  <si>
    <t xml:space="preserve">j.perez@claro.com.co</t>
  </si>
  <si>
    <t xml:space="preserve">+57 311 234 5678</t>
  </si>
  <si>
    <t xml:space="preserve">NISSAN COLVISEG</t>
  </si>
  <si>
    <t xml:space="preserve">Automotriz</t>
  </si>
  <si>
    <t xml:space="preserve">Rafa</t>
  </si>
  <si>
    <t xml:space="preserve">2023-03-01</t>
  </si>
  <si>
    <t xml:space="preserve">2026-05-18</t>
  </si>
  <si>
    <t xml:space="preserve">96 sedes Hikvision — reporte gerencial mensual</t>
  </si>
  <si>
    <t xml:space="preserve">María López</t>
  </si>
  <si>
    <t xml:space="preserve">m.lopez@colviseg.com</t>
  </si>
  <si>
    <t xml:space="preserve">+57 320 876 5432</t>
  </si>
  <si>
    <t xml:space="preserve">GECOLSA</t>
  </si>
  <si>
    <t xml:space="preserve">Maquinaria</t>
  </si>
  <si>
    <t xml:space="preserve">Barranquilla</t>
  </si>
  <si>
    <t xml:space="preserve">OK</t>
  </si>
  <si>
    <t xml:space="preserve">David L</t>
  </si>
  <si>
    <t xml:space="preserve">2023-06-10</t>
  </si>
  <si>
    <t xml:space="preserve">2026-05-15</t>
  </si>
  <si>
    <t xml:space="preserve">Infraestructura estable</t>
  </si>
  <si>
    <t xml:space="preserve">Media</t>
  </si>
  <si>
    <t xml:space="preserve">Carlos Díaz</t>
  </si>
  <si>
    <t xml:space="preserve">c.diaz@gecolsa.com</t>
  </si>
  <si>
    <t xml:space="preserve">+57 315 111 2233</t>
  </si>
  <si>
    <t xml:space="preserve">CANNON ALARMA</t>
  </si>
  <si>
    <t xml:space="preserve">Seguridad</t>
  </si>
  <si>
    <t xml:space="preserve">2023-09-01</t>
  </si>
  <si>
    <t xml:space="preserve">2026-05-10</t>
  </si>
  <si>
    <t xml:space="preserve">Pendiente revisión firmware</t>
  </si>
  <si>
    <t xml:space="preserve">Ana Gómez</t>
  </si>
  <si>
    <t xml:space="preserve">a.gomez@cannon.com</t>
  </si>
  <si>
    <t xml:space="preserve">+57 318 444 5566</t>
  </si>
  <si>
    <t xml:space="preserve">REENCAFE POLLO</t>
  </si>
  <si>
    <t xml:space="preserve">Alimentos</t>
  </si>
  <si>
    <t xml:space="preserve">Medellín</t>
  </si>
  <si>
    <t xml:space="preserve">2024-01-15</t>
  </si>
  <si>
    <t xml:space="preserve">2026-05-12</t>
  </si>
  <si>
    <t xml:space="preserve">Conexiones limitadas — verificar red</t>
  </si>
  <si>
    <t xml:space="preserve">Pedro Ruiz</t>
  </si>
  <si>
    <t xml:space="preserve">p.ruiz@reencafe.com</t>
  </si>
  <si>
    <t xml:space="preserve">+57 312 777 8899</t>
  </si>
  <si>
    <t xml:space="preserve">GBC</t>
  </si>
  <si>
    <t xml:space="preserve">Industrial</t>
  </si>
  <si>
    <t xml:space="preserve">Cali</t>
  </si>
  <si>
    <t xml:space="preserve">2024-02-20</t>
  </si>
  <si>
    <t xml:space="preserve">2026-05-08</t>
  </si>
  <si>
    <t xml:space="preserve">Equipos industriales varios</t>
  </si>
  <si>
    <t xml:space="preserve">Laura Soto</t>
  </si>
  <si>
    <t xml:space="preserve">l.soto@gbc.com.co</t>
  </si>
  <si>
    <t xml:space="preserve">+57 316 222 3344</t>
  </si>
  <si>
    <t xml:space="preserve">REENCAFE BODEGA</t>
  </si>
  <si>
    <t xml:space="preserve">2024-03-05</t>
  </si>
  <si>
    <t xml:space="preserve">2026-05-05</t>
  </si>
  <si>
    <t xml:space="preserve">Sin conexiones activas</t>
  </si>
  <si>
    <t xml:space="preserve">COLVISEG</t>
  </si>
  <si>
    <t xml:space="preserve">2023-04-01</t>
  </si>
  <si>
    <t xml:space="preserve">2026-05-01</t>
  </si>
  <si>
    <t xml:space="preserve">Operación mínima</t>
  </si>
  <si>
    <t xml:space="preserve">Baja</t>
  </si>
  <si>
    <t xml:space="preserve">LADRILLERA SANTA FE</t>
  </si>
  <si>
    <t xml:space="preserve">Construcción</t>
  </si>
  <si>
    <t xml:space="preserve">2024-06-01</t>
  </si>
  <si>
    <t xml:space="preserve">2026-04-28</t>
  </si>
  <si>
    <t xml:space="preserve">Sin equipos registrados — pendiente instalación</t>
  </si>
  <si>
    <t xml:space="preserve">Felipe Torres</t>
  </si>
  <si>
    <t xml:space="preserve">f.torres@ladrillera.com</t>
  </si>
  <si>
    <t xml:space="preserve">+57 314 555 6677</t>
  </si>
  <si>
    <t xml:space="preserve">ENTEL</t>
  </si>
  <si>
    <t xml:space="preserve">Chile</t>
  </si>
  <si>
    <t xml:space="preserve">Santiago</t>
  </si>
  <si>
    <t xml:space="preserve">2023-02-01</t>
  </si>
  <si>
    <t xml:space="preserve">2026-05-19</t>
  </si>
  <si>
    <t xml:space="preserve">133 conexiones sin componentes registrados — revisar inventario</t>
  </si>
  <si>
    <t xml:space="preserve">Andrés Muñoz</t>
  </si>
  <si>
    <t xml:space="preserve">a.munoz@entel.cl</t>
  </si>
  <si>
    <t xml:space="preserve">+56 9 8765 4321</t>
  </si>
  <si>
    <t xml:space="preserve">NUTRESA</t>
  </si>
  <si>
    <t xml:space="preserve">2023-07-15</t>
  </si>
  <si>
    <t xml:space="preserve">2026-05-14</t>
  </si>
  <si>
    <t xml:space="preserve">En proceso de integración</t>
  </si>
  <si>
    <t xml:space="preserve">Carolina Vélez</t>
  </si>
  <si>
    <t xml:space="preserve">c.velez@nutresa.com</t>
  </si>
  <si>
    <t xml:space="preserve">+57 311 888 9900</t>
  </si>
  <si>
    <t xml:space="preserve">TITAN PLAZA</t>
  </si>
  <si>
    <t xml:space="preserve">Retail</t>
  </si>
  <si>
    <t xml:space="preserve">2024-04-10</t>
  </si>
  <si>
    <t xml:space="preserve">2026-05-11</t>
  </si>
  <si>
    <t xml:space="preserve">Centro comercial — cámaras operativas</t>
  </si>
  <si>
    <t xml:space="preserve">Ricardo Parra</t>
  </si>
  <si>
    <t xml:space="preserve">r.parra@titanplaza.com</t>
  </si>
  <si>
    <t xml:space="preserve">+57 317 333 4455</t>
  </si>
  <si>
    <t xml:space="preserve">GIMNASIO</t>
  </si>
  <si>
    <t xml:space="preserve">Salud / Fitness</t>
  </si>
  <si>
    <t xml:space="preserve">Tunja</t>
  </si>
  <si>
    <t xml:space="preserve">2024-05-01</t>
  </si>
  <si>
    <t xml:space="preserve">2026-05-06</t>
  </si>
  <si>
    <t xml:space="preserve">Monitoreo local</t>
  </si>
  <si>
    <t xml:space="preserve">Sandra Ríos</t>
  </si>
  <si>
    <t xml:space="preserve">s.rios@gimnasio.com</t>
  </si>
  <si>
    <t xml:space="preserve">+57 313 666 7788</t>
  </si>
  <si>
    <t xml:space="preserve">STERIGENIC</t>
  </si>
  <si>
    <t xml:space="preserve">Salud</t>
  </si>
  <si>
    <t xml:space="preserve">2024-07-01</t>
  </si>
  <si>
    <t xml:space="preserve">2026-04-30</t>
  </si>
  <si>
    <t xml:space="preserve">Equipos médicos — SLA especial</t>
  </si>
  <si>
    <t xml:space="preserve">Jorge Martínez</t>
  </si>
  <si>
    <t xml:space="preserve">j.martinez@sterigenic.com</t>
  </si>
  <si>
    <t xml:space="preserve">+57 319 111 2200</t>
  </si>
  <si>
    <t xml:space="preserve">CANNON LORAWAN</t>
  </si>
  <si>
    <t xml:space="preserve">2024-08-15</t>
  </si>
  <si>
    <t xml:space="preserve">2026-04-25</t>
  </si>
  <si>
    <t xml:space="preserve">IoT LoRaWAN — piloto activo</t>
  </si>
  <si>
    <t xml:space="preserve">Icono</t>
  </si>
  <si>
    <t xml:space="preserve">Descripción</t>
  </si>
  <si>
    <t xml:space="preserve">📡</t>
  </si>
  <si>
    <t xml:space="preserve">Operadores telco y proveedores de conectividad</t>
  </si>
  <si>
    <t xml:space="preserve">🚗</t>
  </si>
  <si>
    <t xml:space="preserve">Concesionarios, flotas y cadenas automotrices</t>
  </si>
  <si>
    <t xml:space="preserve">⚙️</t>
  </si>
  <si>
    <t xml:space="preserve">Maquinaria pesada e industrial</t>
  </si>
  <si>
    <t xml:space="preserve">🔒</t>
  </si>
  <si>
    <t xml:space="preserve">Empresas de seguridad física y electrónica</t>
  </si>
  <si>
    <t xml:space="preserve">🍗</t>
  </si>
  <si>
    <t xml:space="preserve">Procesadoras, distribuidoras y cadenas alimentarias</t>
  </si>
  <si>
    <t xml:space="preserve">🏭</t>
  </si>
  <si>
    <t xml:space="preserve">Manufactura y operaciones industriales</t>
  </si>
  <si>
    <t xml:space="preserve">🏗️</t>
  </si>
  <si>
    <t xml:space="preserve">Constructoras, ladrilleras y cementeras</t>
  </si>
  <si>
    <t xml:space="preserve">🛒</t>
  </si>
  <si>
    <t xml:space="preserve">Centros comerciales y puntos de venta</t>
  </si>
  <si>
    <t xml:space="preserve">🏥</t>
  </si>
  <si>
    <t xml:space="preserve">Hospitales, laboratorios y equipos médicos</t>
  </si>
  <si>
    <t xml:space="preserve">💪</t>
  </si>
  <si>
    <t xml:space="preserve">Gimnasios y centros deportivos</t>
  </si>
  <si>
    <t xml:space="preserve">Nombre</t>
  </si>
  <si>
    <t xml:space="preserve">Cargo</t>
  </si>
  <si>
    <t xml:space="preserve">Equipo</t>
  </si>
  <si>
    <t xml:space="preserve">Email</t>
  </si>
  <si>
    <t xml:space="preserve">Clientes asignados</t>
  </si>
  <si>
    <t xml:space="preserve">Líder Técnico / Monitoreo</t>
  </si>
  <si>
    <t xml:space="preserve">Level 2 Support</t>
  </si>
  <si>
    <t xml:space="preserve">rafa@analytix.com</t>
  </si>
  <si>
    <t xml:space="preserve">Nissan Colviseg, Entel, Colviseg, Gimnasio</t>
  </si>
  <si>
    <t xml:space="preserve">Analista Senior</t>
  </si>
  <si>
    <t xml:space="preserve">oscar.r@analytix.com</t>
  </si>
  <si>
    <t xml:space="preserve">Claro, Cannon Alarma, GBC, Titan Plaza, Ladrillera Santa Fe, Cannon LoRaWAN</t>
  </si>
  <si>
    <t xml:space="preserve">Analista</t>
  </si>
  <si>
    <t xml:space="preserve">david.l@analytix.com</t>
  </si>
  <si>
    <t xml:space="preserve">Gecolsa, Reencafe Pollo, Reencafe Bodega, Nutresa, Sterigenic</t>
  </si>
  <si>
    <t xml:space="preserve">RESUMEN EJECUTIVO — ANALYTIX</t>
  </si>
  <si>
    <t xml:space="preserve">Generado: 2026-05-22 12:55</t>
  </si>
  <si>
    <t xml:space="preserve">Total Clientes</t>
  </si>
  <si>
    <t xml:space="preserve">Total Componentes</t>
  </si>
  <si>
    <t xml:space="preserve">Total Conexiones</t>
  </si>
  <si>
    <t xml:space="preserve">Clientes OK</t>
  </si>
  <si>
    <t xml:space="preserve">Clientes Pendientes</t>
  </si>
  <si>
    <t xml:space="preserve">% Salud Portafolio</t>
  </si>
  <si>
    <t xml:space="preserve">Prioridad Alta Pendientes</t>
  </si>
  <si>
    <t xml:space="preserve">Promedio Comp/Cliente</t>
  </si>
  <si>
    <t xml:space="preserve">Fecha</t>
  </si>
  <si>
    <t xml:space="preserve">Usuario</t>
  </si>
  <si>
    <t xml:space="preserve">Acción</t>
  </si>
  <si>
    <t xml:space="preserve">Detalle</t>
  </si>
  <si>
    <t xml:space="preserve">2026-05-22</t>
  </si>
  <si>
    <t xml:space="preserve">Sistema</t>
  </si>
  <si>
    <t xml:space="preserve">Creación</t>
  </si>
  <si>
    <t xml:space="preserve">—</t>
  </si>
  <si>
    <t xml:space="preserve">Base de datos creada con 15 clientes iniciales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</si>
</sst>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"/>
    <numFmt numFmtId="167" formatCode="0.0%"/>
    <numFmt numFmtId="168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1B7A2B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9"/>
      <color rgb="FF9CA3AF"/>
      <name val="Arial"/>
      <family val="0"/>
      <charset val="1"/>
    </font>
    <font>
      <sz val="10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7F9FC"/>
        <bgColor rgb="FFEFF6FF"/>
      </patternFill>
    </fill>
    <fill>
      <patternFill patternType="solid">
        <fgColor rgb="FFFFF8E1"/>
        <bgColor rgb="FFF7F9FC"/>
      </patternFill>
    </fill>
    <fill>
      <patternFill patternType="solid">
        <fgColor rgb="FFE8F5E9"/>
        <bgColor rgb="FFEFF6FF"/>
      </patternFill>
    </fill>
    <fill>
      <patternFill patternType="solid">
        <fgColor rgb="FFEFF6FF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1B7A2B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2B"/>
      <rgbColor rgb="FF000080"/>
      <rgbColor rgb="FF808000"/>
      <rgbColor rgb="FF800080"/>
      <rgbColor rgb="FF008080"/>
      <rgbColor rgb="FFC0C0C0"/>
      <rgbColor rgb="FF808080"/>
      <rgbColor rgb="FF5B8CFF"/>
      <rgbColor rgb="FFEF4444"/>
      <rgbColor rgb="FFFFF8E1"/>
      <rgbColor rgb="FFE8F5E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7F9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E65100"/>
      <rgbColor rgb="FF6B7280"/>
      <rgbColor rgb="FF9CA3AF"/>
      <rgbColor rgb="FF003366"/>
      <rgbColor rgb="FF22C55E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Q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8" min="5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22"/>
    <col collapsed="false" customWidth="true" hidden="false" outlineLevel="0" max="16" min="16" style="0" width="26"/>
    <col collapsed="false" customWidth="true" hidden="false" outlineLevel="0" max="17" min="1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3" t="s">
        <v>17</v>
      </c>
      <c r="C2" s="3" t="s">
        <v>18</v>
      </c>
      <c r="D2" s="2" t="s">
        <v>19</v>
      </c>
      <c r="E2" s="2" t="s">
        <v>20</v>
      </c>
      <c r="F2" s="4" t="n">
        <v>4985</v>
      </c>
      <c r="G2" s="4" t="n">
        <v>1673</v>
      </c>
      <c r="H2" s="5" t="s">
        <v>21</v>
      </c>
      <c r="I2" s="3" t="s">
        <v>22</v>
      </c>
      <c r="J2" s="6" t="s">
        <v>23</v>
      </c>
      <c r="K2" s="6" t="s">
        <v>24</v>
      </c>
      <c r="L2" s="3" t="s">
        <v>25</v>
      </c>
      <c r="M2" s="2" t="s">
        <v>26</v>
      </c>
      <c r="N2" s="4" t="n">
        <v>4</v>
      </c>
      <c r="O2" s="3" t="s">
        <v>27</v>
      </c>
      <c r="P2" s="3" t="s">
        <v>28</v>
      </c>
      <c r="Q2" s="2" t="s">
        <v>29</v>
      </c>
    </row>
    <row r="3" customFormat="false" ht="15" hidden="false" customHeight="false" outlineLevel="0" collapsed="false">
      <c r="A3" s="7" t="n">
        <v>2</v>
      </c>
      <c r="B3" s="8" t="s">
        <v>30</v>
      </c>
      <c r="C3" s="8" t="s">
        <v>31</v>
      </c>
      <c r="D3" s="7" t="s">
        <v>19</v>
      </c>
      <c r="E3" s="7" t="s">
        <v>20</v>
      </c>
      <c r="F3" s="9" t="n">
        <v>4562</v>
      </c>
      <c r="G3" s="9" t="n">
        <v>1354</v>
      </c>
      <c r="H3" s="5" t="s">
        <v>21</v>
      </c>
      <c r="I3" s="8" t="s">
        <v>32</v>
      </c>
      <c r="J3" s="10" t="s">
        <v>33</v>
      </c>
      <c r="K3" s="10" t="s">
        <v>34</v>
      </c>
      <c r="L3" s="8" t="s">
        <v>35</v>
      </c>
      <c r="M3" s="7" t="s">
        <v>26</v>
      </c>
      <c r="N3" s="9" t="n">
        <v>4</v>
      </c>
      <c r="O3" s="8" t="s">
        <v>36</v>
      </c>
      <c r="P3" s="8" t="s">
        <v>37</v>
      </c>
      <c r="Q3" s="7" t="s">
        <v>38</v>
      </c>
    </row>
    <row r="4" customFormat="false" ht="15" hidden="false" customHeight="false" outlineLevel="0" collapsed="false">
      <c r="A4" s="2" t="n">
        <v>3</v>
      </c>
      <c r="B4" s="3" t="s">
        <v>39</v>
      </c>
      <c r="C4" s="3" t="s">
        <v>40</v>
      </c>
      <c r="D4" s="2" t="s">
        <v>19</v>
      </c>
      <c r="E4" s="2" t="s">
        <v>41</v>
      </c>
      <c r="F4" s="4" t="n">
        <v>576</v>
      </c>
      <c r="G4" s="4" t="n">
        <v>33</v>
      </c>
      <c r="H4" s="11" t="s">
        <v>42</v>
      </c>
      <c r="I4" s="3" t="s">
        <v>43</v>
      </c>
      <c r="J4" s="6" t="s">
        <v>44</v>
      </c>
      <c r="K4" s="6" t="s">
        <v>45</v>
      </c>
      <c r="L4" s="3" t="s">
        <v>46</v>
      </c>
      <c r="M4" s="2" t="s">
        <v>47</v>
      </c>
      <c r="N4" s="4" t="n">
        <v>8</v>
      </c>
      <c r="O4" s="3" t="s">
        <v>48</v>
      </c>
      <c r="P4" s="3" t="s">
        <v>49</v>
      </c>
      <c r="Q4" s="2" t="s">
        <v>50</v>
      </c>
    </row>
    <row r="5" customFormat="false" ht="15" hidden="false" customHeight="false" outlineLevel="0" collapsed="false">
      <c r="A5" s="7" t="n">
        <v>4</v>
      </c>
      <c r="B5" s="8" t="s">
        <v>51</v>
      </c>
      <c r="C5" s="8" t="s">
        <v>52</v>
      </c>
      <c r="D5" s="7" t="s">
        <v>19</v>
      </c>
      <c r="E5" s="7" t="s">
        <v>20</v>
      </c>
      <c r="F5" s="9" t="n">
        <v>144</v>
      </c>
      <c r="G5" s="9" t="n">
        <v>6</v>
      </c>
      <c r="H5" s="5" t="s">
        <v>21</v>
      </c>
      <c r="I5" s="8" t="s">
        <v>22</v>
      </c>
      <c r="J5" s="10" t="s">
        <v>53</v>
      </c>
      <c r="K5" s="10" t="s">
        <v>54</v>
      </c>
      <c r="L5" s="8" t="s">
        <v>55</v>
      </c>
      <c r="M5" s="7" t="s">
        <v>47</v>
      </c>
      <c r="N5" s="9" t="n">
        <v>6</v>
      </c>
      <c r="O5" s="8" t="s">
        <v>56</v>
      </c>
      <c r="P5" s="8" t="s">
        <v>57</v>
      </c>
      <c r="Q5" s="7" t="s">
        <v>58</v>
      </c>
    </row>
    <row r="6" customFormat="false" ht="15" hidden="false" customHeight="false" outlineLevel="0" collapsed="false">
      <c r="A6" s="2" t="n">
        <v>5</v>
      </c>
      <c r="B6" s="3" t="s">
        <v>59</v>
      </c>
      <c r="C6" s="3" t="s">
        <v>60</v>
      </c>
      <c r="D6" s="2" t="s">
        <v>19</v>
      </c>
      <c r="E6" s="2" t="s">
        <v>61</v>
      </c>
      <c r="F6" s="4" t="n">
        <v>148</v>
      </c>
      <c r="G6" s="4" t="n">
        <v>2</v>
      </c>
      <c r="H6" s="5" t="s">
        <v>21</v>
      </c>
      <c r="I6" s="3" t="s">
        <v>43</v>
      </c>
      <c r="J6" s="6" t="s">
        <v>62</v>
      </c>
      <c r="K6" s="6" t="s">
        <v>63</v>
      </c>
      <c r="L6" s="3" t="s">
        <v>64</v>
      </c>
      <c r="M6" s="2" t="s">
        <v>47</v>
      </c>
      <c r="N6" s="4" t="n">
        <v>8</v>
      </c>
      <c r="O6" s="3" t="s">
        <v>65</v>
      </c>
      <c r="P6" s="3" t="s">
        <v>66</v>
      </c>
      <c r="Q6" s="2" t="s">
        <v>67</v>
      </c>
    </row>
    <row r="7" customFormat="false" ht="15" hidden="false" customHeight="false" outlineLevel="0" collapsed="false">
      <c r="A7" s="7" t="n">
        <v>6</v>
      </c>
      <c r="B7" s="8" t="s">
        <v>68</v>
      </c>
      <c r="C7" s="8" t="s">
        <v>69</v>
      </c>
      <c r="D7" s="7" t="s">
        <v>19</v>
      </c>
      <c r="E7" s="7" t="s">
        <v>70</v>
      </c>
      <c r="F7" s="9" t="n">
        <v>119</v>
      </c>
      <c r="G7" s="9" t="n">
        <v>11</v>
      </c>
      <c r="H7" s="5" t="s">
        <v>21</v>
      </c>
      <c r="I7" s="8" t="s">
        <v>22</v>
      </c>
      <c r="J7" s="10" t="s">
        <v>71</v>
      </c>
      <c r="K7" s="10" t="s">
        <v>72</v>
      </c>
      <c r="L7" s="8" t="s">
        <v>73</v>
      </c>
      <c r="M7" s="7" t="s">
        <v>47</v>
      </c>
      <c r="N7" s="9" t="n">
        <v>8</v>
      </c>
      <c r="O7" s="8" t="s">
        <v>74</v>
      </c>
      <c r="P7" s="8" t="s">
        <v>75</v>
      </c>
      <c r="Q7" s="7" t="s">
        <v>76</v>
      </c>
    </row>
    <row r="8" customFormat="false" ht="15" hidden="false" customHeight="false" outlineLevel="0" collapsed="false">
      <c r="A8" s="2" t="n">
        <v>7</v>
      </c>
      <c r="B8" s="3" t="s">
        <v>77</v>
      </c>
      <c r="C8" s="3" t="s">
        <v>60</v>
      </c>
      <c r="D8" s="2" t="s">
        <v>19</v>
      </c>
      <c r="E8" s="2" t="s">
        <v>61</v>
      </c>
      <c r="F8" s="4" t="n">
        <v>70</v>
      </c>
      <c r="G8" s="4" t="n">
        <v>0</v>
      </c>
      <c r="H8" s="5" t="s">
        <v>21</v>
      </c>
      <c r="I8" s="3" t="s">
        <v>43</v>
      </c>
      <c r="J8" s="6" t="s">
        <v>78</v>
      </c>
      <c r="K8" s="6" t="s">
        <v>79</v>
      </c>
      <c r="L8" s="3" t="s">
        <v>80</v>
      </c>
      <c r="M8" s="2" t="s">
        <v>26</v>
      </c>
      <c r="N8" s="4" t="n">
        <v>6</v>
      </c>
      <c r="O8" s="3" t="s">
        <v>65</v>
      </c>
      <c r="P8" s="3" t="s">
        <v>66</v>
      </c>
      <c r="Q8" s="2" t="s">
        <v>67</v>
      </c>
    </row>
    <row r="9" customFormat="false" ht="15" hidden="false" customHeight="false" outlineLevel="0" collapsed="false">
      <c r="A9" s="7" t="n">
        <v>8</v>
      </c>
      <c r="B9" s="8" t="s">
        <v>81</v>
      </c>
      <c r="C9" s="8" t="s">
        <v>52</v>
      </c>
      <c r="D9" s="7" t="s">
        <v>19</v>
      </c>
      <c r="E9" s="7" t="s">
        <v>20</v>
      </c>
      <c r="F9" s="9" t="n">
        <v>8</v>
      </c>
      <c r="G9" s="9" t="n">
        <v>6</v>
      </c>
      <c r="H9" s="5" t="s">
        <v>21</v>
      </c>
      <c r="I9" s="8" t="s">
        <v>32</v>
      </c>
      <c r="J9" s="10" t="s">
        <v>82</v>
      </c>
      <c r="K9" s="10" t="s">
        <v>83</v>
      </c>
      <c r="L9" s="8" t="s">
        <v>84</v>
      </c>
      <c r="M9" s="7" t="s">
        <v>85</v>
      </c>
      <c r="N9" s="9" t="n">
        <v>12</v>
      </c>
      <c r="O9" s="8" t="s">
        <v>36</v>
      </c>
      <c r="P9" s="8" t="s">
        <v>37</v>
      </c>
      <c r="Q9" s="7" t="s">
        <v>38</v>
      </c>
    </row>
    <row r="10" customFormat="false" ht="15" hidden="false" customHeight="false" outlineLevel="0" collapsed="false">
      <c r="A10" s="2" t="n">
        <v>9</v>
      </c>
      <c r="B10" s="3" t="s">
        <v>86</v>
      </c>
      <c r="C10" s="3" t="s">
        <v>87</v>
      </c>
      <c r="D10" s="2" t="s">
        <v>19</v>
      </c>
      <c r="E10" s="2" t="s">
        <v>20</v>
      </c>
      <c r="F10" s="4" t="n">
        <v>0</v>
      </c>
      <c r="G10" s="4" t="n">
        <v>0</v>
      </c>
      <c r="H10" s="5" t="s">
        <v>21</v>
      </c>
      <c r="I10" s="3" t="s">
        <v>22</v>
      </c>
      <c r="J10" s="6" t="s">
        <v>88</v>
      </c>
      <c r="K10" s="6" t="s">
        <v>89</v>
      </c>
      <c r="L10" s="3" t="s">
        <v>90</v>
      </c>
      <c r="M10" s="2" t="s">
        <v>26</v>
      </c>
      <c r="N10" s="4" t="n">
        <v>4</v>
      </c>
      <c r="O10" s="3" t="s">
        <v>91</v>
      </c>
      <c r="P10" s="3" t="s">
        <v>92</v>
      </c>
      <c r="Q10" s="2" t="s">
        <v>93</v>
      </c>
    </row>
    <row r="11" customFormat="false" ht="15" hidden="false" customHeight="false" outlineLevel="0" collapsed="false">
      <c r="A11" s="7" t="n">
        <v>10</v>
      </c>
      <c r="B11" s="8" t="s">
        <v>94</v>
      </c>
      <c r="C11" s="8" t="s">
        <v>18</v>
      </c>
      <c r="D11" s="7" t="s">
        <v>95</v>
      </c>
      <c r="E11" s="7" t="s">
        <v>96</v>
      </c>
      <c r="F11" s="9" t="n">
        <v>0</v>
      </c>
      <c r="G11" s="9" t="n">
        <v>133</v>
      </c>
      <c r="H11" s="5" t="s">
        <v>21</v>
      </c>
      <c r="I11" s="8" t="s">
        <v>32</v>
      </c>
      <c r="J11" s="10" t="s">
        <v>97</v>
      </c>
      <c r="K11" s="10" t="s">
        <v>98</v>
      </c>
      <c r="L11" s="8" t="s">
        <v>99</v>
      </c>
      <c r="M11" s="7" t="s">
        <v>26</v>
      </c>
      <c r="N11" s="9" t="n">
        <v>4</v>
      </c>
      <c r="O11" s="8" t="s">
        <v>100</v>
      </c>
      <c r="P11" s="8" t="s">
        <v>101</v>
      </c>
      <c r="Q11" s="7" t="s">
        <v>102</v>
      </c>
    </row>
    <row r="12" customFormat="false" ht="15" hidden="false" customHeight="false" outlineLevel="0" collapsed="false">
      <c r="A12" s="2" t="n">
        <v>11</v>
      </c>
      <c r="B12" s="3" t="s">
        <v>103</v>
      </c>
      <c r="C12" s="3" t="s">
        <v>60</v>
      </c>
      <c r="D12" s="2" t="s">
        <v>19</v>
      </c>
      <c r="E12" s="2" t="s">
        <v>61</v>
      </c>
      <c r="F12" s="4" t="n">
        <v>0</v>
      </c>
      <c r="G12" s="4" t="n">
        <v>22</v>
      </c>
      <c r="H12" s="11" t="s">
        <v>42</v>
      </c>
      <c r="I12" s="3" t="s">
        <v>43</v>
      </c>
      <c r="J12" s="6" t="s">
        <v>104</v>
      </c>
      <c r="K12" s="6" t="s">
        <v>105</v>
      </c>
      <c r="L12" s="3" t="s">
        <v>106</v>
      </c>
      <c r="M12" s="2" t="s">
        <v>47</v>
      </c>
      <c r="N12" s="4" t="n">
        <v>8</v>
      </c>
      <c r="O12" s="3" t="s">
        <v>107</v>
      </c>
      <c r="P12" s="3" t="s">
        <v>108</v>
      </c>
      <c r="Q12" s="2" t="s">
        <v>109</v>
      </c>
    </row>
    <row r="13" customFormat="false" ht="15" hidden="false" customHeight="false" outlineLevel="0" collapsed="false">
      <c r="A13" s="7" t="n">
        <v>12</v>
      </c>
      <c r="B13" s="8" t="s">
        <v>110</v>
      </c>
      <c r="C13" s="8" t="s">
        <v>111</v>
      </c>
      <c r="D13" s="7" t="s">
        <v>19</v>
      </c>
      <c r="E13" s="7" t="s">
        <v>20</v>
      </c>
      <c r="F13" s="9" t="n">
        <v>17</v>
      </c>
      <c r="G13" s="9" t="n">
        <v>10</v>
      </c>
      <c r="H13" s="11" t="s">
        <v>42</v>
      </c>
      <c r="I13" s="8" t="s">
        <v>22</v>
      </c>
      <c r="J13" s="10" t="s">
        <v>112</v>
      </c>
      <c r="K13" s="10" t="s">
        <v>113</v>
      </c>
      <c r="L13" s="8" t="s">
        <v>114</v>
      </c>
      <c r="M13" s="7" t="s">
        <v>85</v>
      </c>
      <c r="N13" s="9" t="n">
        <v>12</v>
      </c>
      <c r="O13" s="8" t="s">
        <v>115</v>
      </c>
      <c r="P13" s="8" t="s">
        <v>116</v>
      </c>
      <c r="Q13" s="7" t="s">
        <v>117</v>
      </c>
    </row>
    <row r="14" customFormat="false" ht="15" hidden="false" customHeight="false" outlineLevel="0" collapsed="false">
      <c r="A14" s="2" t="n">
        <v>13</v>
      </c>
      <c r="B14" s="3" t="s">
        <v>118</v>
      </c>
      <c r="C14" s="3" t="s">
        <v>119</v>
      </c>
      <c r="D14" s="2" t="s">
        <v>19</v>
      </c>
      <c r="E14" s="2" t="s">
        <v>120</v>
      </c>
      <c r="F14" s="4" t="n">
        <v>11</v>
      </c>
      <c r="G14" s="4" t="n">
        <v>6</v>
      </c>
      <c r="H14" s="11" t="s">
        <v>42</v>
      </c>
      <c r="I14" s="3" t="s">
        <v>32</v>
      </c>
      <c r="J14" s="6" t="s">
        <v>121</v>
      </c>
      <c r="K14" s="6" t="s">
        <v>122</v>
      </c>
      <c r="L14" s="3" t="s">
        <v>123</v>
      </c>
      <c r="M14" s="2" t="s">
        <v>85</v>
      </c>
      <c r="N14" s="4" t="n">
        <v>24</v>
      </c>
      <c r="O14" s="3" t="s">
        <v>124</v>
      </c>
      <c r="P14" s="3" t="s">
        <v>125</v>
      </c>
      <c r="Q14" s="2" t="s">
        <v>126</v>
      </c>
    </row>
    <row r="15" customFormat="false" ht="15" hidden="false" customHeight="false" outlineLevel="0" collapsed="false">
      <c r="A15" s="7" t="n">
        <v>14</v>
      </c>
      <c r="B15" s="8" t="s">
        <v>127</v>
      </c>
      <c r="C15" s="8" t="s">
        <v>128</v>
      </c>
      <c r="D15" s="7" t="s">
        <v>19</v>
      </c>
      <c r="E15" s="7" t="s">
        <v>20</v>
      </c>
      <c r="F15" s="9" t="n">
        <v>12</v>
      </c>
      <c r="G15" s="9" t="n">
        <v>3</v>
      </c>
      <c r="H15" s="11" t="s">
        <v>42</v>
      </c>
      <c r="I15" s="8" t="s">
        <v>43</v>
      </c>
      <c r="J15" s="10" t="s">
        <v>129</v>
      </c>
      <c r="K15" s="10" t="s">
        <v>130</v>
      </c>
      <c r="L15" s="8" t="s">
        <v>131</v>
      </c>
      <c r="M15" s="7" t="s">
        <v>47</v>
      </c>
      <c r="N15" s="9" t="n">
        <v>6</v>
      </c>
      <c r="O15" s="8" t="s">
        <v>132</v>
      </c>
      <c r="P15" s="8" t="s">
        <v>133</v>
      </c>
      <c r="Q15" s="7" t="s">
        <v>134</v>
      </c>
    </row>
    <row r="16" customFormat="false" ht="15" hidden="false" customHeight="false" outlineLevel="0" collapsed="false">
      <c r="A16" s="2" t="n">
        <v>15</v>
      </c>
      <c r="B16" s="3" t="s">
        <v>135</v>
      </c>
      <c r="C16" s="3" t="s">
        <v>52</v>
      </c>
      <c r="D16" s="2" t="s">
        <v>19</v>
      </c>
      <c r="E16" s="2" t="s">
        <v>20</v>
      </c>
      <c r="F16" s="4" t="n">
        <v>4</v>
      </c>
      <c r="G16" s="4" t="n">
        <v>3</v>
      </c>
      <c r="H16" s="11" t="s">
        <v>42</v>
      </c>
      <c r="I16" s="3" t="s">
        <v>22</v>
      </c>
      <c r="J16" s="6" t="s">
        <v>136</v>
      </c>
      <c r="K16" s="6" t="s">
        <v>137</v>
      </c>
      <c r="L16" s="3" t="s">
        <v>138</v>
      </c>
      <c r="M16" s="2" t="s">
        <v>85</v>
      </c>
      <c r="N16" s="4" t="n">
        <v>12</v>
      </c>
      <c r="O16" s="3" t="s">
        <v>56</v>
      </c>
      <c r="P16" s="3" t="s">
        <v>57</v>
      </c>
      <c r="Q16" s="2" t="s">
        <v>58</v>
      </c>
    </row>
  </sheetData>
  <autoFilter ref="A1:Q16"/>
  <dataValidations count="3">
    <dataValidation allowBlank="false" error="Solo OK o PENDIENTE" errorStyle="stop" errorTitle="Estado inválido" operator="between" showDropDown="false" showErrorMessage="false" showInputMessage="false" sqref="H2:H1000" type="list">
      <formula1>"OK,PENDIENTE"</formula1>
      <formula2>0</formula2>
    </dataValidation>
    <dataValidation allowBlank="false" errorStyle="stop" operator="between" showDropDown="false" showErrorMessage="false" showInputMessage="false" sqref="M2:M1000" type="list">
      <formula1>"Alta,Media,Baja"</formula1>
      <formula2>0</formula2>
    </dataValidation>
    <dataValidation allowBlank="false" errorStyle="stop" operator="between" showDropDown="false" showErrorMessage="false" showInputMessage="false" sqref="C2:C1000" type="list">
      <formula1>"Telecomunicaciones,Automotriz,Maquinaria,Seguridad,Alimentos,Industrial,Construcción,Retail,Salud,Salud / Fitness,Otro"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8CFF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" t="s">
        <v>2</v>
      </c>
      <c r="B1" s="1" t="s">
        <v>139</v>
      </c>
      <c r="C1" s="1" t="s">
        <v>140</v>
      </c>
    </row>
    <row r="2" customFormat="false" ht="15" hidden="false" customHeight="false" outlineLevel="0" collapsed="false">
      <c r="A2" s="8" t="s">
        <v>18</v>
      </c>
      <c r="B2" s="8" t="s">
        <v>141</v>
      </c>
      <c r="C2" s="8" t="s">
        <v>142</v>
      </c>
    </row>
    <row r="3" customFormat="false" ht="15" hidden="false" customHeight="false" outlineLevel="0" collapsed="false">
      <c r="A3" s="8" t="s">
        <v>31</v>
      </c>
      <c r="B3" s="8" t="s">
        <v>143</v>
      </c>
      <c r="C3" s="8" t="s">
        <v>144</v>
      </c>
    </row>
    <row r="4" customFormat="false" ht="15" hidden="false" customHeight="false" outlineLevel="0" collapsed="false">
      <c r="A4" s="8" t="s">
        <v>40</v>
      </c>
      <c r="B4" s="8" t="s">
        <v>145</v>
      </c>
      <c r="C4" s="8" t="s">
        <v>146</v>
      </c>
    </row>
    <row r="5" customFormat="false" ht="15" hidden="false" customHeight="false" outlineLevel="0" collapsed="false">
      <c r="A5" s="8" t="s">
        <v>52</v>
      </c>
      <c r="B5" s="8" t="s">
        <v>147</v>
      </c>
      <c r="C5" s="8" t="s">
        <v>148</v>
      </c>
    </row>
    <row r="6" customFormat="false" ht="15" hidden="false" customHeight="false" outlineLevel="0" collapsed="false">
      <c r="A6" s="8" t="s">
        <v>60</v>
      </c>
      <c r="B6" s="8" t="s">
        <v>149</v>
      </c>
      <c r="C6" s="8" t="s">
        <v>150</v>
      </c>
    </row>
    <row r="7" customFormat="false" ht="15" hidden="false" customHeight="false" outlineLevel="0" collapsed="false">
      <c r="A7" s="8" t="s">
        <v>69</v>
      </c>
      <c r="B7" s="8" t="s">
        <v>151</v>
      </c>
      <c r="C7" s="8" t="s">
        <v>152</v>
      </c>
    </row>
    <row r="8" customFormat="false" ht="15" hidden="false" customHeight="false" outlineLevel="0" collapsed="false">
      <c r="A8" s="8" t="s">
        <v>87</v>
      </c>
      <c r="B8" s="8" t="s">
        <v>153</v>
      </c>
      <c r="C8" s="8" t="s">
        <v>154</v>
      </c>
    </row>
    <row r="9" customFormat="false" ht="15" hidden="false" customHeight="false" outlineLevel="0" collapsed="false">
      <c r="A9" s="8" t="s">
        <v>111</v>
      </c>
      <c r="B9" s="8" t="s">
        <v>155</v>
      </c>
      <c r="C9" s="8" t="s">
        <v>156</v>
      </c>
    </row>
    <row r="10" customFormat="false" ht="15" hidden="false" customHeight="false" outlineLevel="0" collapsed="false">
      <c r="A10" s="8" t="s">
        <v>128</v>
      </c>
      <c r="B10" s="8" t="s">
        <v>157</v>
      </c>
      <c r="C10" s="8" t="s">
        <v>158</v>
      </c>
    </row>
    <row r="11" customFormat="false" ht="15" hidden="false" customHeight="false" outlineLevel="0" collapsed="false">
      <c r="A11" s="8" t="s">
        <v>119</v>
      </c>
      <c r="B11" s="8" t="s">
        <v>159</v>
      </c>
      <c r="C11" s="8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</row>
    <row r="2" customFormat="false" ht="15" hidden="false" customHeight="false" outlineLevel="0" collapsed="false">
      <c r="A2" s="7" t="s">
        <v>32</v>
      </c>
      <c r="B2" s="7" t="s">
        <v>166</v>
      </c>
      <c r="C2" s="7" t="s">
        <v>167</v>
      </c>
      <c r="D2" s="7" t="s">
        <v>168</v>
      </c>
      <c r="E2" s="8" t="s">
        <v>169</v>
      </c>
    </row>
    <row r="3" customFormat="false" ht="15" hidden="false" customHeight="false" outlineLevel="0" collapsed="false">
      <c r="A3" s="7" t="s">
        <v>22</v>
      </c>
      <c r="B3" s="7" t="s">
        <v>170</v>
      </c>
      <c r="C3" s="7" t="s">
        <v>167</v>
      </c>
      <c r="D3" s="7" t="s">
        <v>171</v>
      </c>
      <c r="E3" s="8" t="s">
        <v>172</v>
      </c>
    </row>
    <row r="4" customFormat="false" ht="15" hidden="false" customHeight="false" outlineLevel="0" collapsed="false">
      <c r="A4" s="7" t="s">
        <v>43</v>
      </c>
      <c r="B4" s="7" t="s">
        <v>173</v>
      </c>
      <c r="C4" s="7" t="s">
        <v>167</v>
      </c>
      <c r="D4" s="7" t="s">
        <v>174</v>
      </c>
      <c r="E4" s="8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2" t="s">
        <v>176</v>
      </c>
    </row>
    <row r="2" customFormat="false" ht="15" hidden="false" customHeight="false" outlineLevel="0" collapsed="false">
      <c r="A2" s="13" t="s">
        <v>177</v>
      </c>
    </row>
    <row r="4" customFormat="false" ht="17.35" hidden="false" customHeight="false" outlineLevel="0" collapsed="false">
      <c r="A4" s="14" t="s">
        <v>178</v>
      </c>
      <c r="B4" s="15" t="n">
        <f aca="false">COUNTA(Clientes!B2:B1000)</f>
        <v>15</v>
      </c>
    </row>
    <row r="5" customFormat="false" ht="17.35" hidden="false" customHeight="false" outlineLevel="0" collapsed="false">
      <c r="A5" s="14" t="s">
        <v>179</v>
      </c>
      <c r="B5" s="15" t="n">
        <f aca="false">SUM(Clientes!F2:F1000)</f>
        <v>10656</v>
      </c>
    </row>
    <row r="6" customFormat="false" ht="17.35" hidden="false" customHeight="false" outlineLevel="0" collapsed="false">
      <c r="A6" s="14" t="s">
        <v>180</v>
      </c>
      <c r="B6" s="15" t="n">
        <f aca="false">SUM(Clientes!G2:G1000)</f>
        <v>3262</v>
      </c>
    </row>
    <row r="7" customFormat="false" ht="17.35" hidden="false" customHeight="false" outlineLevel="0" collapsed="false">
      <c r="A7" s="14" t="s">
        <v>181</v>
      </c>
      <c r="B7" s="15" t="n">
        <f aca="false">COUNTIF(Clientes!H2:H1000,"OK")</f>
        <v>6</v>
      </c>
    </row>
    <row r="8" customFormat="false" ht="17.35" hidden="false" customHeight="false" outlineLevel="0" collapsed="false">
      <c r="A8" s="14" t="s">
        <v>182</v>
      </c>
      <c r="B8" s="15" t="n">
        <f aca="false">COUNTIF(Clientes!H2:H1000,"PENDIENTE")</f>
        <v>9</v>
      </c>
    </row>
    <row r="9" customFormat="false" ht="17.35" hidden="false" customHeight="false" outlineLevel="0" collapsed="false">
      <c r="A9" s="14" t="s">
        <v>183</v>
      </c>
      <c r="B9" s="16" t="n">
        <f aca="false">IFERROR(COUNTIF(Clientes!H2:H1000,"OK")/COUNTA(Clientes!H2:H1000),0)</f>
        <v>0.4</v>
      </c>
    </row>
    <row r="10" customFormat="false" ht="17.35" hidden="false" customHeight="false" outlineLevel="0" collapsed="false">
      <c r="A10" s="14" t="s">
        <v>184</v>
      </c>
      <c r="B10" s="15" t="n">
        <f aca="false">COUNTIFS(Clientes!H2:H1000,"PENDIENTE",Clientes!M2:M1000,"Alta")</f>
        <v>5</v>
      </c>
    </row>
    <row r="11" customFormat="false" ht="17.35" hidden="false" customHeight="false" outlineLevel="0" collapsed="false">
      <c r="A11" s="14" t="s">
        <v>185</v>
      </c>
      <c r="B11" s="17" t="n">
        <f aca="false">IFERROR(SUM(Clientes!F2:F1000)/COUNTA(Clientes!B2:B1000),0)</f>
        <v>710.4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186</v>
      </c>
      <c r="B1" s="1" t="s">
        <v>187</v>
      </c>
      <c r="C1" s="1" t="s">
        <v>188</v>
      </c>
      <c r="D1" s="1" t="s">
        <v>1</v>
      </c>
      <c r="E1" s="1" t="s">
        <v>189</v>
      </c>
    </row>
    <row r="2" customFormat="false" ht="15" hidden="false" customHeight="false" outlineLevel="0" collapsed="false">
      <c r="A2" s="18" t="s">
        <v>190</v>
      </c>
      <c r="B2" s="18" t="s">
        <v>191</v>
      </c>
      <c r="C2" s="18" t="s">
        <v>192</v>
      </c>
      <c r="D2" s="18" t="s">
        <v>193</v>
      </c>
      <c r="E2" s="18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2026-05-22T12:55:31Z</dcterms:created>
  <dc:creator>openpyxl</dc:creator>
  <dc:description/>
  <dc:language>en-US</dc:language>
  <cp:lastModifiedBy/>
  <dcterms:modified xsi:type="dcterms:W3CDTF">2026-05-22T12:55:31Z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